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laudio\Desktop\FATEC\Modulo I\PMI\Atividade3\"/>
    </mc:Choice>
  </mc:AlternateContent>
  <xr:revisionPtr revIDLastSave="0" documentId="13_ncr:1_{2490C7B5-040B-4A0A-B045-FBCBF2D8ED9C}" xr6:coauthVersionLast="47" xr6:coauthVersionMax="47" xr10:uidLastSave="{00000000-0000-0000-0000-000000000000}"/>
  <bookViews>
    <workbookView xWindow="-120" yWindow="-120" windowWidth="29040" windowHeight="15840" xr2:uid="{AAC7FA13-C211-4CCB-99F7-FF7F60BAFC2E}"/>
  </bookViews>
  <sheets>
    <sheet name="SE_ANINHADO_S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</calcChain>
</file>

<file path=xl/sharedStrings.xml><?xml version="1.0" encoding="utf-8"?>
<sst xmlns="http://schemas.openxmlformats.org/spreadsheetml/2006/main" count="34" uniqueCount="34">
  <si>
    <t>Produto</t>
  </si>
  <si>
    <t>Estoque</t>
  </si>
  <si>
    <t>Situação  do item</t>
  </si>
  <si>
    <t>Arroz</t>
  </si>
  <si>
    <t>Feijão</t>
  </si>
  <si>
    <t>Macarrão</t>
  </si>
  <si>
    <t>Molho de tomate</t>
  </si>
  <si>
    <t>Azeite</t>
  </si>
  <si>
    <t>Oleo</t>
  </si>
  <si>
    <t>Papel Higiênico</t>
  </si>
  <si>
    <t>Cadeira</t>
  </si>
  <si>
    <t>Squeeze</t>
  </si>
  <si>
    <t>Grampeador</t>
  </si>
  <si>
    <t>Borracha</t>
  </si>
  <si>
    <t>Caneta</t>
  </si>
  <si>
    <t>Lixeira</t>
  </si>
  <si>
    <t>Sabonete</t>
  </si>
  <si>
    <t>Esponja</t>
  </si>
  <si>
    <t>Limão</t>
  </si>
  <si>
    <t>Mamão</t>
  </si>
  <si>
    <t>Camiseta</t>
  </si>
  <si>
    <t>Bermuda</t>
  </si>
  <si>
    <t>Calça</t>
  </si>
  <si>
    <t>Computador</t>
  </si>
  <si>
    <t>Notebook</t>
  </si>
  <si>
    <t>Tabela Situação Estoque</t>
  </si>
  <si>
    <t>Minimo</t>
  </si>
  <si>
    <t>Maximo</t>
  </si>
  <si>
    <t>Situação</t>
  </si>
  <si>
    <t>Nível Alarmante</t>
  </si>
  <si>
    <t>Nível Baixo</t>
  </si>
  <si>
    <t>Nível Regular</t>
  </si>
  <si>
    <t>Nível Alto</t>
  </si>
  <si>
    <t>Exercicio 1 - Verifique a situação de estoque de cada produto, gravando uma macro usando SE aninhado com SE e depois gravar outra macro para limpar a coluna situação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</si>
</sst>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3" fontId="0" fillId="0" borderId="5" xfId="0" applyNumberFormat="1" applyBorder="1" applyAlignment="1">
      <alignment horizontal="left" vertical="center" wrapText="1"/>
    </xf>
    <xf numFmtId="3" fontId="0" fillId="0" borderId="1" xfId="0" applyNumberFormat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3" fontId="0" fillId="0" borderId="7" xfId="0" applyNumberFormat="1" applyBorder="1" applyAlignment="1">
      <alignment horizontal="left" vertical="center" wrapText="1"/>
    </xf>
    <xf numFmtId="3" fontId="0" fillId="0" borderId="8" xfId="0" applyNumberFormat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9">
    <dxf>
      <numFmt numFmtId="0" formatCode="General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FFCC6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19050</xdr:rowOff>
        </xdr:from>
        <xdr:to>
          <xdr:col>6</xdr:col>
          <xdr:colOff>0</xdr:colOff>
          <xdr:row>7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Verificar Estoque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10</xdr:row>
          <xdr:rowOff>19050</xdr:rowOff>
        </xdr:from>
        <xdr:to>
          <xdr:col>5</xdr:col>
          <xdr:colOff>581025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F0B46-18AA-429C-8734-3A6CFEAD2E9B}" name="Tabela1" displayName="Tabela1" ref="A4:C26" totalsRowShown="0">
  <autoFilter ref="A4:C26" xr:uid="{AE7F0B46-18AA-429C-8734-3A6CFEAD2E9B}"/>
  <tableColumns count="3">
    <tableColumn id="1" xr3:uid="{275A461D-C143-4C16-AAD5-C194B0A84D62}" name="Produto"/>
    <tableColumn id="2" xr3:uid="{98175EFD-3378-4AC8-A255-560F28F2085D}" name="Estoque" dataDxfId="8"/>
    <tableColumn id="3" xr3:uid="{1330E570-93E7-4B6C-BCB5-21C152CCEEDF}" name="Situação  do item" dataDxfId="0">
      <calculatedColumnFormula>IF(Tabela1[[#This Row],[Estoque]]&lt;=$N$10,$O$10,IF(Tabela1[[#This Row],[Estoque]]&lt;=$N$11,$O$11,IF(Tabela1[[#This Row],[Estoque]]&lt;=$N$12,$O$12,$O$13)))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BF114E-9451-4BEB-9487-90934A8BA211}" name="Tabela2" displayName="Tabela2" ref="M9:O13" totalsRowShown="0" headerRowDxfId="7" headerRowBorderDxfId="6" tableBorderDxfId="5" totalsRowBorderDxfId="4">
  <autoFilter ref="M9:O13" xr:uid="{49BF114E-9451-4BEB-9487-90934A8BA211}"/>
  <tableColumns count="3">
    <tableColumn id="1" xr3:uid="{0BB93036-8DE2-4A45-83FB-2D1C5291B02F}" name="Minimo" dataDxfId="3"/>
    <tableColumn id="2" xr3:uid="{41F81339-B690-42D1-A5FD-FA0A4E51AE3E}" name="Maximo" dataDxfId="2"/>
    <tableColumn id="3" xr3:uid="{8812ACF2-CFA9-4FFF-BF65-9647B4F3C919}" name="Situação" dataDxfId="1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AFCA-CAAC-4ABF-97A3-108C94E09C5A}">
  <sheetPr codeName="Planilha1"/>
  <dimension ref="A1:O26"/>
  <sheetViews>
    <sheetView tabSelected="1" workbookViewId="0">
      <selection activeCell="C5" sqref="C5"/>
    </sheetView>
  </sheetViews>
  <sheetFormatPr defaultRowHeight="15" x14ac:dyDescent="0.25"/>
  <cols>
    <col min="1" max="3" width="18.5703125" customWidth="1"/>
    <col min="13" max="15" width="18.5703125" customWidth="1"/>
  </cols>
  <sheetData>
    <row r="1" spans="1:15" ht="24" customHeight="1" x14ac:dyDescent="0.25">
      <c r="A1" s="11" t="s">
        <v>33</v>
      </c>
      <c r="B1" s="11"/>
      <c r="C1" s="11"/>
    </row>
    <row r="2" spans="1:15" ht="24" customHeight="1" x14ac:dyDescent="0.25">
      <c r="A2" s="11"/>
      <c r="B2" s="11"/>
      <c r="C2" s="11"/>
    </row>
    <row r="4" spans="1:15" x14ac:dyDescent="0.25">
      <c r="A4" t="s">
        <v>0</v>
      </c>
      <c r="B4" t="s">
        <v>1</v>
      </c>
      <c r="C4" t="s">
        <v>2</v>
      </c>
    </row>
    <row r="5" spans="1:15" x14ac:dyDescent="0.25">
      <c r="A5" t="s">
        <v>3</v>
      </c>
      <c r="B5" s="1">
        <v>10948</v>
      </c>
      <c r="C5" t="str">
        <f>IF(Tabela1[[#This Row],[Estoque]]&lt;=$N$10,$O$10,IF(Tabela1[[#This Row],[Estoque]]&lt;=$N$11,$O$11,IF(Tabela1[[#This Row],[Estoque]]&lt;=$N$12,$O$12,$O$13)))</f>
        <v>Nível Regular</v>
      </c>
    </row>
    <row r="6" spans="1:15" x14ac:dyDescent="0.25">
      <c r="A6" t="s">
        <v>4</v>
      </c>
      <c r="B6" s="1">
        <v>113</v>
      </c>
      <c r="C6" t="str">
        <f>IF(Tabela1[[#This Row],[Estoque]]&lt;=$N$10,$O$10,IF(Tabela1[[#This Row],[Estoque]]&lt;=$N$11,$O$11,IF(Tabela1[[#This Row],[Estoque]]&lt;=$N$12,$O$12,$O$13)))</f>
        <v>Nível Alarmante</v>
      </c>
    </row>
    <row r="7" spans="1:15" x14ac:dyDescent="0.25">
      <c r="A7" t="s">
        <v>5</v>
      </c>
      <c r="B7" s="1">
        <v>16844</v>
      </c>
      <c r="C7" t="str">
        <f>IF(Tabela1[[#This Row],[Estoque]]&lt;=$N$10,$O$10,IF(Tabela1[[#This Row],[Estoque]]&lt;=$N$11,$O$11,IF(Tabela1[[#This Row],[Estoque]]&lt;=$N$12,$O$12,$O$13)))</f>
        <v>Nível Regular</v>
      </c>
    </row>
    <row r="8" spans="1:15" x14ac:dyDescent="0.25">
      <c r="A8" t="s">
        <v>6</v>
      </c>
      <c r="B8" s="1">
        <v>27612</v>
      </c>
      <c r="C8" t="str">
        <f>IF(Tabela1[[#This Row],[Estoque]]&lt;=$N$10,$O$10,IF(Tabela1[[#This Row],[Estoque]]&lt;=$N$11,$O$11,IF(Tabela1[[#This Row],[Estoque]]&lt;=$N$12,$O$12,$O$13)))</f>
        <v>Nível Alto</v>
      </c>
      <c r="M8" s="12" t="s">
        <v>25</v>
      </c>
      <c r="N8" s="12"/>
      <c r="O8" s="12"/>
    </row>
    <row r="9" spans="1:15" x14ac:dyDescent="0.25">
      <c r="A9" t="s">
        <v>7</v>
      </c>
      <c r="B9" s="1">
        <v>8936</v>
      </c>
      <c r="C9" t="str">
        <f>IF(Tabela1[[#This Row],[Estoque]]&lt;=$N$10,$O$10,IF(Tabela1[[#This Row],[Estoque]]&lt;=$N$11,$O$11,IF(Tabela1[[#This Row],[Estoque]]&lt;=$N$12,$O$12,$O$13)))</f>
        <v>Nível Baixo</v>
      </c>
      <c r="M9" s="2" t="s">
        <v>26</v>
      </c>
      <c r="N9" s="3" t="s">
        <v>27</v>
      </c>
      <c r="O9" s="4" t="s">
        <v>28</v>
      </c>
    </row>
    <row r="10" spans="1:15" x14ac:dyDescent="0.25">
      <c r="A10" t="s">
        <v>8</v>
      </c>
      <c r="B10" s="1">
        <v>5713</v>
      </c>
      <c r="C10" t="str">
        <f>IF(Tabela1[[#This Row],[Estoque]]&lt;=$N$10,$O$10,IF(Tabela1[[#This Row],[Estoque]]&lt;=$N$11,$O$11,IF(Tabela1[[#This Row],[Estoque]]&lt;=$N$12,$O$12,$O$13)))</f>
        <v>Nível Baixo</v>
      </c>
      <c r="M10" s="5">
        <v>0</v>
      </c>
      <c r="N10" s="6">
        <v>5000</v>
      </c>
      <c r="O10" s="7" t="s">
        <v>29</v>
      </c>
    </row>
    <row r="11" spans="1:15" x14ac:dyDescent="0.25">
      <c r="A11" t="s">
        <v>9</v>
      </c>
      <c r="B11" s="1">
        <v>20041</v>
      </c>
      <c r="C11" t="str">
        <f>IF(Tabela1[[#This Row],[Estoque]]&lt;=$N$10,$O$10,IF(Tabela1[[#This Row],[Estoque]]&lt;=$N$11,$O$11,IF(Tabela1[[#This Row],[Estoque]]&lt;=$N$12,$O$12,$O$13)))</f>
        <v>Nível Alto</v>
      </c>
      <c r="M11" s="5">
        <v>5001</v>
      </c>
      <c r="N11" s="6">
        <v>10000</v>
      </c>
      <c r="O11" s="7" t="s">
        <v>30</v>
      </c>
    </row>
    <row r="12" spans="1:15" x14ac:dyDescent="0.25">
      <c r="A12" t="s">
        <v>10</v>
      </c>
      <c r="B12" s="1">
        <v>19218</v>
      </c>
      <c r="C12" t="str">
        <f>IF(Tabela1[[#This Row],[Estoque]]&lt;=$N$10,$O$10,IF(Tabela1[[#This Row],[Estoque]]&lt;=$N$11,$O$11,IF(Tabela1[[#This Row],[Estoque]]&lt;=$N$12,$O$12,$O$13)))</f>
        <v>Nível Regular</v>
      </c>
      <c r="M12" s="5">
        <v>10001</v>
      </c>
      <c r="N12" s="6">
        <v>20000</v>
      </c>
      <c r="O12" s="7" t="s">
        <v>31</v>
      </c>
    </row>
    <row r="13" spans="1:15" x14ac:dyDescent="0.25">
      <c r="A13" t="s">
        <v>11</v>
      </c>
      <c r="B13" s="1">
        <v>9423</v>
      </c>
      <c r="C13" t="str">
        <f>IF(Tabela1[[#This Row],[Estoque]]&lt;=$N$10,$O$10,IF(Tabela1[[#This Row],[Estoque]]&lt;=$N$11,$O$11,IF(Tabela1[[#This Row],[Estoque]]&lt;=$N$12,$O$12,$O$13)))</f>
        <v>Nível Baixo</v>
      </c>
      <c r="M13" s="8">
        <v>20001</v>
      </c>
      <c r="N13" s="9">
        <v>30000</v>
      </c>
      <c r="O13" s="10" t="s">
        <v>32</v>
      </c>
    </row>
    <row r="14" spans="1:15" x14ac:dyDescent="0.25">
      <c r="A14" t="s">
        <v>12</v>
      </c>
      <c r="B14" s="1">
        <v>11809</v>
      </c>
      <c r="C14" t="str">
        <f>IF(Tabela1[[#This Row],[Estoque]]&lt;=$N$10,$O$10,IF(Tabela1[[#This Row],[Estoque]]&lt;=$N$11,$O$11,IF(Tabela1[[#This Row],[Estoque]]&lt;=$N$12,$O$12,$O$13)))</f>
        <v>Nível Regular</v>
      </c>
    </row>
    <row r="15" spans="1:15" x14ac:dyDescent="0.25">
      <c r="A15" t="s">
        <v>13</v>
      </c>
      <c r="B15" s="1">
        <v>253</v>
      </c>
      <c r="C15" t="str">
        <f>IF(Tabela1[[#This Row],[Estoque]]&lt;=$N$10,$O$10,IF(Tabela1[[#This Row],[Estoque]]&lt;=$N$11,$O$11,IF(Tabela1[[#This Row],[Estoque]]&lt;=$N$12,$O$12,$O$13)))</f>
        <v>Nível Alarmante</v>
      </c>
    </row>
    <row r="16" spans="1:15" x14ac:dyDescent="0.25">
      <c r="A16" t="s">
        <v>14</v>
      </c>
      <c r="B16" s="1">
        <v>18614</v>
      </c>
      <c r="C16" t="str">
        <f>IF(Tabela1[[#This Row],[Estoque]]&lt;=$N$10,$O$10,IF(Tabela1[[#This Row],[Estoque]]&lt;=$N$11,$O$11,IF(Tabela1[[#This Row],[Estoque]]&lt;=$N$12,$O$12,$O$13)))</f>
        <v>Nível Regular</v>
      </c>
    </row>
    <row r="17" spans="1:3" x14ac:dyDescent="0.25">
      <c r="A17" t="s">
        <v>15</v>
      </c>
      <c r="B17" s="1">
        <v>894</v>
      </c>
      <c r="C17" t="str">
        <f>IF(Tabela1[[#This Row],[Estoque]]&lt;=$N$10,$O$10,IF(Tabela1[[#This Row],[Estoque]]&lt;=$N$11,$O$11,IF(Tabela1[[#This Row],[Estoque]]&lt;=$N$12,$O$12,$O$13)))</f>
        <v>Nível Alarmante</v>
      </c>
    </row>
    <row r="18" spans="1:3" x14ac:dyDescent="0.25">
      <c r="A18" t="s">
        <v>16</v>
      </c>
      <c r="B18" s="1">
        <v>17481</v>
      </c>
      <c r="C18" t="str">
        <f>IF(Tabela1[[#This Row],[Estoque]]&lt;=$N$10,$O$10,IF(Tabela1[[#This Row],[Estoque]]&lt;=$N$11,$O$11,IF(Tabela1[[#This Row],[Estoque]]&lt;=$N$12,$O$12,$O$13)))</f>
        <v>Nível Regular</v>
      </c>
    </row>
    <row r="19" spans="1:3" x14ac:dyDescent="0.25">
      <c r="A19" t="s">
        <v>17</v>
      </c>
      <c r="B19" s="1">
        <v>15979</v>
      </c>
      <c r="C19" t="str">
        <f>IF(Tabela1[[#This Row],[Estoque]]&lt;=$N$10,$O$10,IF(Tabela1[[#This Row],[Estoque]]&lt;=$N$11,$O$11,IF(Tabela1[[#This Row],[Estoque]]&lt;=$N$12,$O$12,$O$13)))</f>
        <v>Nível Regular</v>
      </c>
    </row>
    <row r="20" spans="1:3" x14ac:dyDescent="0.25">
      <c r="A20" t="s">
        <v>18</v>
      </c>
      <c r="B20" s="1">
        <v>17042</v>
      </c>
      <c r="C20" t="str">
        <f>IF(Tabela1[[#This Row],[Estoque]]&lt;=$N$10,$O$10,IF(Tabela1[[#This Row],[Estoque]]&lt;=$N$11,$O$11,IF(Tabela1[[#This Row],[Estoque]]&lt;=$N$12,$O$12,$O$13)))</f>
        <v>Nível Regular</v>
      </c>
    </row>
    <row r="21" spans="1:3" x14ac:dyDescent="0.25">
      <c r="A21" t="s">
        <v>19</v>
      </c>
      <c r="B21" s="1">
        <v>3010</v>
      </c>
      <c r="C21" t="str">
        <f>IF(Tabela1[[#This Row],[Estoque]]&lt;=$N$10,$O$10,IF(Tabela1[[#This Row],[Estoque]]&lt;=$N$11,$O$11,IF(Tabela1[[#This Row],[Estoque]]&lt;=$N$12,$O$12,$O$13)))</f>
        <v>Nível Alarmante</v>
      </c>
    </row>
    <row r="22" spans="1:3" x14ac:dyDescent="0.25">
      <c r="A22" t="s">
        <v>20</v>
      </c>
      <c r="B22" s="1">
        <v>24927</v>
      </c>
      <c r="C22" t="str">
        <f>IF(Tabela1[[#This Row],[Estoque]]&lt;=$N$10,$O$10,IF(Tabela1[[#This Row],[Estoque]]&lt;=$N$11,$O$11,IF(Tabela1[[#This Row],[Estoque]]&lt;=$N$12,$O$12,$O$13)))</f>
        <v>Nível Alto</v>
      </c>
    </row>
    <row r="23" spans="1:3" x14ac:dyDescent="0.25">
      <c r="A23" t="s">
        <v>21</v>
      </c>
      <c r="B23" s="1">
        <v>10955</v>
      </c>
      <c r="C23" t="str">
        <f>IF(Tabela1[[#This Row],[Estoque]]&lt;=$N$10,$O$10,IF(Tabela1[[#This Row],[Estoque]]&lt;=$N$11,$O$11,IF(Tabela1[[#This Row],[Estoque]]&lt;=$N$12,$O$12,$O$13)))</f>
        <v>Nível Regular</v>
      </c>
    </row>
    <row r="24" spans="1:3" x14ac:dyDescent="0.25">
      <c r="A24" t="s">
        <v>22</v>
      </c>
      <c r="B24" s="1">
        <v>3897</v>
      </c>
      <c r="C24" t="str">
        <f>IF(Tabela1[[#This Row],[Estoque]]&lt;=$N$10,$O$10,IF(Tabela1[[#This Row],[Estoque]]&lt;=$N$11,$O$11,IF(Tabela1[[#This Row],[Estoque]]&lt;=$N$12,$O$12,$O$13)))</f>
        <v>Nível Alarmante</v>
      </c>
    </row>
    <row r="25" spans="1:3" x14ac:dyDescent="0.25">
      <c r="A25" t="s">
        <v>23</v>
      </c>
      <c r="B25" s="1">
        <v>15905</v>
      </c>
      <c r="C25" t="str">
        <f>IF(Tabela1[[#This Row],[Estoque]]&lt;=$N$10,$O$10,IF(Tabela1[[#This Row],[Estoque]]&lt;=$N$11,$O$11,IF(Tabela1[[#This Row],[Estoque]]&lt;=$N$12,$O$12,$O$13)))</f>
        <v>Nível Regular</v>
      </c>
    </row>
    <row r="26" spans="1:3" x14ac:dyDescent="0.25">
      <c r="A26" t="s">
        <v>24</v>
      </c>
      <c r="B26" s="1">
        <v>17517</v>
      </c>
      <c r="C26" t="str">
        <f>IF(Tabela1[[#This Row],[Estoque]]&lt;=$N$10,$O$10,IF(Tabela1[[#This Row],[Estoque]]&lt;=$N$11,$O$11,IF(Tabela1[[#This Row],[Estoque]]&lt;=$N$12,$O$12,$O$13)))</f>
        <v>Nível Regular</v>
      </c>
    </row>
  </sheetData>
  <mergeCells count="2">
    <mergeCell ref="A1:C2"/>
    <mergeCell ref="M8:O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4</xdr:col>
                    <xdr:colOff>9525</xdr:colOff>
                    <xdr:row>5</xdr:row>
                    <xdr:rowOff>19050</xdr:rowOff>
                  </from>
                  <to>
                    <xdr:col>6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mpar_Macro1">
                <anchor moveWithCells="1" sizeWithCells="1">
                  <from>
                    <xdr:col>4</xdr:col>
                    <xdr:colOff>28575</xdr:colOff>
                    <xdr:row>10</xdr:row>
                    <xdr:rowOff>19050</xdr:rowOff>
                  </from>
                  <to>
                    <xdr:col>5</xdr:col>
                    <xdr:colOff>581025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09EA41DF2EAA44BAFC73FAE5F14A0B" ma:contentTypeVersion="8" ma:contentTypeDescription="Create a new document." ma:contentTypeScope="" ma:versionID="ecbd21eb7b6c1a22ffe7e0fd2c318e68">
  <xsd:schema xmlns:xsd="http://www.w3.org/2001/XMLSchema" xmlns:xs="http://www.w3.org/2001/XMLSchema" xmlns:p="http://schemas.microsoft.com/office/2006/metadata/properties" xmlns:ns3="6931cfd7-7a47-4f6b-8399-ec6a0f6e29bd" xmlns:ns4="af878825-9660-464f-92fe-29da3b36369a" targetNamespace="http://schemas.microsoft.com/office/2006/metadata/properties" ma:root="true" ma:fieldsID="5ae39600ecd846d570daab385dc0d199" ns3:_="" ns4:_="">
    <xsd:import namespace="6931cfd7-7a47-4f6b-8399-ec6a0f6e29bd"/>
    <xsd:import namespace="af878825-9660-464f-92fe-29da3b36369a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31cfd7-7a47-4f6b-8399-ec6a0f6e29bd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78825-9660-464f-92fe-29da3b36369a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931cfd7-7a47-4f6b-8399-ec6a0f6e29bd" xsi:nil="true"/>
  </documentManagement>
</p:properties>
</file>

<file path=customXml/itemProps1.xml><?xml version="1.0" encoding="utf-8"?>
<ds:datastoreItem xmlns:ds="http://schemas.openxmlformats.org/officeDocument/2006/customXml" ds:itemID="{50069DA5-7D7E-447F-8048-ECEA439205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31cfd7-7a47-4f6b-8399-ec6a0f6e29bd"/>
    <ds:schemaRef ds:uri="af878825-9660-464f-92fe-29da3b3636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25C8F7-4DF0-4E10-AE45-928E13F614A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B1049A-46D6-456B-A2EE-1D1C885A8463}">
  <ds:schemaRefs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f878825-9660-464f-92fe-29da3b36369a"/>
    <ds:schemaRef ds:uri="6931cfd7-7a47-4f6b-8399-ec6a0f6e29b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SE_ANINHADO_SE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FERREIRA DA SILVA DOS SANTOS</dc:creator>
  <cp:lastModifiedBy>CLAUDIO FERREIRA DA SILVA DOS SANTOS</cp:lastModifiedBy>
  <dcterms:created xsi:type="dcterms:W3CDTF">2023-09-21T12:39:31Z</dcterms:created>
  <dcterms:modified xsi:type="dcterms:W3CDTF">2023-09-21T13:03:38Z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0x0101001C09EA41DF2EAA44BAFC73FAE5F14A0B</vt:lpwstr>
  </property>
</Properties>
</file>